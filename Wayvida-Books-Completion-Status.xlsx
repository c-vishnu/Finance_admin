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f3d69f0ef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c9afd798cc4da9"/>
    <x:sheet xmlns:r="http://schemas.openxmlformats.org/officeDocument/2006/relationships" name="Pages" sheetId="2" r:id="R0e9ac52f33234525"/>
    <x:sheet xmlns:r="http://schemas.openxmlformats.org/officeDocument/2006/relationships" name="Next actions" sheetId="3" r:id="Ref69a2f00bcf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4"/>
      <x:color rgb="FF172033"/>
      <x:name val="Arial"/>
    </x:font>
    <x:font>
      <x:i/>
      <x:sz val="10"/>
      <x:color rgb="FF5A6B8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B7C2D0"/>
      </x:bottom>
    </x:border>
    <x:border>
      <x:top style="thin">
        <x:color rgb="FF8FA3B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0" fontId="5" fillId="0" borderId="2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ont>
        <x:b/>
        <x:color rgb="FFA32C1E"/>
      </x:font>
      <x:fill>
        <x:patternFill patternType="solid">
          <x:bgColor rgb="FFFBEDEC"/>
        </x:patternFill>
      </x:fill>
    </x:dxf>
    <x:dxf>
      <x:font>
        <x:b/>
        <x:color rgb="FF8A5A09"/>
      </x:font>
      <x:fill>
        <x:patternFill patternType="solid">
          <x:bgColor rgb="FFFDF4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e360f9e0d407b" /><Relationship Type="http://schemas.openxmlformats.org/officeDocument/2006/relationships/theme" Target="/xl/theme/theme1.xml" Id="Re0955fe3aa3245a4" /><Relationship Type="http://schemas.openxmlformats.org/officeDocument/2006/relationships/sharedStrings" Target="/xl/sharedStrings.xml" Id="R9d4bb237b73a4163" /><Relationship Type="http://schemas.openxmlformats.org/officeDocument/2006/relationships/worksheet" Target="/xl/worksheets/sheet1.xml" Id="R4ec9afd798cc4da9" /><Relationship Type="http://schemas.openxmlformats.org/officeDocument/2006/relationships/worksheet" Target="/xl/worksheets/sheet2.xml" Id="R0e9ac52f33234525" /><Relationship Type="http://schemas.openxmlformats.org/officeDocument/2006/relationships/worksheet" Target="/xl/worksheets/sheet3.xml" Id="Ref69a2f00bcf4a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92baa2c64a48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Completion by module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Completion</c:v>
          </c:tx>
          <c:cat>
            <c:strRef>
              <c:f>'Summary'!$A$7:$A$18</c:f>
              <c:strCache>
                <c:ptCount val="0"/>
              </c:strCache>
            </c:strRef>
          </c:cat>
          <c:val>
            <c:numRef>
              <c:f>'Summary'!$B$7:$B$18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92baa2c64a48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4f83aadf534bf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8" hidden="0" customWidth="1"/>
    <x:col min="4" max="4" width="60" hidden="0" customWidth="1"/>
    <x:col min="6" max="6" width="3" hidden="0" customWidth="1"/>
  </x:cols>
  <x:sheetData>
    <x:row r="2">
      <x:c r="A2" s="2" t="str">
        <x:v>Wayvida Books - build completion status</x:v>
      </x:c>
      <x:c r="B2" s="3"/>
      <x:c r="C2" s="3"/>
      <x:c r="D2" s="3"/>
    </x:row>
    <x:row r="4" ht="44" customHeight="1">
      <x:c r="A4" s="5" t="str">
        <x:v>Assessed prototype completeness per module, from the 43 navigation destinations in src/Navigation.jsx and the page dispatch in src/App.jsx. The percentages are an assessment, not a tracked metric, and every figure on this sheet is calculated from the Pages tab.</x:v>
      </x:c>
    </x:row>
    <x:row r="6" ht="22" customHeight="1">
      <x:c r="A6" s="9" t="str">
        <x:v>Module</x:v>
      </x:c>
      <x:c r="B6" s="9" t="str">
        <x:v>Completion</x:v>
      </x:c>
      <x:c r="C6" s="9" t="str">
        <x:v>Pages</x:v>
      </x:c>
      <x:c r="D6" s="9" t="str">
        <x:v>Main gap</x:v>
      </x:c>
    </x:row>
    <x:row r="7" ht="28" customHeight="1">
      <x:c r="A7" s="11" t="str">
        <x:v>Dashboard</x:v>
      </x:c>
      <x:c r="B7" s="14" t="n">
        <x:f>AVERAGEIF(Pages!$A$5:$A$47,$A7,Pages!$E$5:$E$47)</x:f>
        <x:v>0.85</x:v>
      </x:c>
      <x:c r="C7" s="16" t="n">
        <x:f>COUNTIF(Pages!$A$5:$A$47,$A7)</x:f>
        <x:v>1</x:v>
      </x:c>
      <x:c r="D7" s="18" t="str">
        <x:v>Seeded demo data only: metrics, charts and the task list are not read from posted journals.</x:v>
      </x:c>
    </x:row>
    <x:row r="8" ht="28" customHeight="1">
      <x:c r="A8" s="11" t="str">
        <x:v>Accounting</x:v>
      </x:c>
      <x:c r="B8" s="14" t="n">
        <x:f>AVERAGEIF(Pages!$A$5:$A$47,$A8,Pages!$E$5:$E$47)</x:f>
        <x:v>0.9125</x:v>
      </x:c>
      <x:c r="C8" s="16" t="n">
        <x:f>COUNTIF(Pages!$A$5:$A$47,$A8)</x:f>
        <x:v>4</x:v>
      </x:c>
      <x:c r="D8" s="18" t="str">
        <x:v>Four register-complete pages; remaining gaps are mapping administration and recurring-post automation.</x:v>
      </x:c>
    </x:row>
    <x:row r="9" ht="28" customHeight="1">
      <x:c r="A9" s="11" t="str">
        <x:v>Inventory</x:v>
      </x:c>
      <x:c r="B9" s="14" t="n">
        <x:f>AVERAGEIF(Pages!$A$5:$A$47,$A9,Pages!$E$5:$E$47)</x:f>
        <x:v>0.89</x:v>
      </x:c>
      <x:c r="C9" s="16" t="n">
        <x:f>COUNTIF(Pages!$A$5:$A$47,$A9)</x:f>
        <x:v>2</x:v>
      </x:c>
      <x:c r="D9" s="18" t="str">
        <x:v>Two pages; stock movements post to journals, but valuation methods and locations are single-track.</x:v>
      </x:c>
    </x:row>
    <x:row r="10" ht="28" customHeight="1">
      <x:c r="A10" s="11" t="str">
        <x:v>Sales</x:v>
      </x:c>
      <x:c r="B10" s="14" t="n">
        <x:f>AVERAGEIF(Pages!$A$5:$A$47,$A10,Pages!$E$5:$E$47)</x:f>
        <x:v>0.9019999999999999</x:v>
      </x:c>
      <x:c r="C10" s="16" t="n">
        <x:f>COUNTIF(Pages!$A$5:$A$47,$A10)</x:f>
        <x:v>5</x:v>
      </x:c>
      <x:c r="D10" s="18" t="str">
        <x:v>Strongest module: five destinations share the register row, document previews and status pills.</x:v>
      </x:c>
    </x:row>
    <x:row r="11" ht="28" customHeight="1">
      <x:c r="A11" s="11" t="str">
        <x:v>Purchases</x:v>
      </x:c>
      <x:c r="B11" s="14" t="n">
        <x:f>AVERAGEIF(Pages!$A$5:$A$47,$A11,Pages!$E$5:$E$47)</x:f>
        <x:v>0.8266666666666667</x:v>
      </x:c>
      <x:c r="C11" s="16" t="n">
        <x:f>COUNTIF(Pages!$A$5:$A$47,$A11)</x:f>
        <x:v>6</x:v>
      </x:c>
      <x:c r="D11" s="18" t="str">
        <x:v>Full service layer (orders, receipts, bills, debit notes, payments), but the registers still sit on their own headers.</x:v>
      </x:c>
    </x:row>
    <x:row r="12" ht="28" customHeight="1">
      <x:c r="A12" s="11" t="str">
        <x:v>Banking</x:v>
      </x:c>
      <x:c r="B12" s="14" t="n">
        <x:f>AVERAGEIF(Pages!$A$5:$A$47,$A12,Pages!$E$5:$E$47)</x:f>
        <x:v>0.7725</x:v>
      </x:c>
      <x:c r="C12" s="16" t="n">
        <x:f>COUNTIF(Pages!$A$5:$A$47,$A12)</x:f>
        <x:v>4</x:v>
      </x:c>
      <x:c r="D12" s="18" t="str">
        <x:v>CSV statement import, matching rules and reconciliation are real; there is no live bank feed.</x:v>
      </x:c>
    </x:row>
    <x:row r="13" ht="28" customHeight="1">
      <x:c r="A13" s="11" t="str">
        <x:v>Expenses</x:v>
      </x:c>
      <x:c r="B13" s="14" t="n">
        <x:f>AVERAGEIF(Pages!$A$5:$A$47,$A13,Pages!$E$5:$E$47)</x:f>
        <x:v>0.69</x:v>
      </x:c>
      <x:c r="C13" s="16" t="n">
        <x:f>COUNTIF(Pages!$A$5:$A$47,$A13)</x:f>
        <x:v>2</x:v>
      </x:c>
      <x:c r="D13" s="18" t="str">
        <x:v>Create and post only: no approval chain and no reimbursement payout.</x:v>
      </x:c>
    </x:row>
    <x:row r="14" ht="28" customHeight="1">
      <x:c r="A14" s="11" t="str">
        <x:v>Assets</x:v>
      </x:c>
      <x:c r="B14" s="14" t="n">
        <x:f>AVERAGEIF(Pages!$A$5:$A$47,$A14,Pages!$E$5:$E$47)</x:f>
        <x:v>0.65</x:v>
      </x:c>
      <x:c r="C14" s="16" t="n">
        <x:f>COUNTIF(Pages!$A$5:$A$47,$A14)</x:f>
        <x:v>3</x:v>
      </x:c>
      <x:c r="D14" s="18" t="str">
        <x:v>Register and depreciation post; disposal and revaluation are absent.</x:v>
      </x:c>
    </x:row>
    <x:row r="15" ht="28" customHeight="1">
      <x:c r="A15" s="11" t="str">
        <x:v>Tax</x:v>
      </x:c>
      <x:c r="B15" s="14" t="n">
        <x:f>AVERAGEIF(Pages!$A$5:$A$47,$A15,Pages!$E$5:$E$47)</x:f>
        <x:v>0.6</x:v>
      </x:c>
      <x:c r="C15" s="16" t="n">
        <x:f>COUNTIF(Pages!$A$5:$A$47,$A15)</x:f>
        <x:v>2</x:v>
      </x:c>
      <x:c r="D15" s="18" t="str">
        <x:v>Read-only GST and TDS monitors: no return or challan output.</x:v>
      </x:c>
    </x:row>
    <x:row r="16" ht="28" customHeight="1">
      <x:c r="A16" s="11" t="str">
        <x:v>Reports</x:v>
      </x:c>
      <x:c r="B16" s="14" t="n">
        <x:f>AVERAGEIF(Pages!$A$5:$A$47,$A16,Pages!$E$5:$E$47)</x:f>
        <x:v>0.7540000000000001</x:v>
      </x:c>
      <x:c r="C16" s="16" t="n">
        <x:f>COUNTIF(Pages!$A$5:$A$47,$A16)</x:f>
        <x:v>10</x:v>
      </x:c>
      <x:c r="D16" s="18" t="str">
        <x:v>Ten destinations, mostly read-only; exports and comparative periods are uneven.</x:v>
      </x:c>
    </x:row>
    <x:row r="17" ht="28" customHeight="1">
      <x:c r="A17" s="11" t="str">
        <x:v>Settings</x:v>
      </x:c>
      <x:c r="B17" s="14" t="n">
        <x:f>AVERAGEIF(Pages!$A$5:$A$47,$A17,Pages!$E$5:$E$47)</x:f>
        <x:v>0.7066666666666667</x:v>
      </x:c>
      <x:c r="C17" s="16" t="n">
        <x:f>COUNTIF(Pages!$A$5:$A$47,$A17)</x:f>
        <x:v>3</x:v>
      </x:c>
      <x:c r="D17" s="18" t="str">
        <x:v>18 sections persist locally; enforcement inside the business modules is partial.</x:v>
      </x:c>
    </x:row>
    <x:row r="18" ht="28" customHeight="1">
      <x:c r="A18" s="11" t="str">
        <x:v>Help</x:v>
      </x:c>
      <x:c r="B18" s="14" t="n">
        <x:f>AVERAGEIF(Pages!$A$5:$A$47,$A18,Pages!$E$5:$E$47)</x:f>
        <x:v>0.65</x:v>
      </x:c>
      <x:c r="C18" s="16" t="n">
        <x:f>COUNTIF(Pages!$A$5:$A$47,$A18)</x:f>
        <x:v>1</x:v>
      </x:c>
      <x:c r="D18" s="18" t="str">
        <x:v>Static guidance content.</x:v>
      </x:c>
    </x:row>
    <x:row r="20">
      <x:c r="A20" s="20" t="str">
        <x:v>All modules (page-weighted)</x:v>
      </x:c>
      <x:c r="B20" s="22" t="n">
        <x:f>SUMPRODUCT($C$7:$C$18,$B$7:$B$18)/SUM($C$7:$C$18)</x:f>
        <x:v>0.7832558139534882</x:v>
      </x:c>
      <x:c r="C20" s="23" t="n">
        <x:f>SUM($C$7:$C$18)</x:f>
        <x:v>43</x:v>
      </x:c>
      <x:c r="D20" s="20"/>
    </x:row>
    <x:row r="22">
      <x:c r="A22" s="19" t="str">
        <x:v>How the percentage is assessed</x:v>
      </x:c>
    </x:row>
    <x:row r="23" ht="46" customHeight="1">
      <x:c r="A23" s="24" t="str">
        <x:v>Every page is scored on what the repository actually contains: a real store or service, a create/edit workflow, a register with search and filters, a drill-down detail, document output where the document type needs one, and its own tests. Pages without a register, such as reports and settings, are scored on the dimensions that apply to them.</x:v>
      </x:c>
    </x:row>
    <x:row r="24" ht="46" customHeight="1">
      <x:c r="A24" s="24" t="str">
        <x:v>Completion means prototype completeness, not production readiness. Production readiness is roughly 15-20 percent: persistence is browser storage, roles are simulated, and no control can be enforced server-side. See docs/KNOWN-GAPS-AND-ROADMAP.md for that track.</x:v>
      </x:c>
    </x:row>
    <x:row r="25" ht="46" customHeight="1">
      <x:c r="A25" s="24" t="str">
        <x:v>Sources: src/Navigation.jsx, src/App.jsx, each module component and its store or service, src/register-head.js (11 of 33 table pages migrated to the shared register row), and the 80 test files under tests/. Assessed 2026-09-21.</x:v>
      </x:c>
    </x:row>
  </x:sheetData>
  <x:mergeCells>
    <x:mergeCell ref="A4:D4"/>
    <x:mergeCell ref="A22:D22"/>
    <x:mergeCell ref="A23:D23"/>
    <x:mergeCell ref="A24:D24"/>
    <x:mergeCell ref="A25:D25"/>
  </x:mergeCells>
  <x:conditionalFormatting sqref="B7:B18">
    <x:cfRule type="colorScale" priority="1">
      <x:colorScale>
        <x:cfvo type="min"/>
        <x:cfvo type="percentile" val="55"/>
        <x:cfvo type="max"/>
        <x:color rgb="FFC0392B"/>
        <x:color rgb="FFE8A33D"/>
        <x:color rgb="FF2E7D4F"/>
      </x:colorScale>
    </x:cfRule>
  </x:conditionalFormatting>
  <x:pageMargins left="0.7" right="0.7" top="0.75" bottom="0.75" header="0.3" footer="0.3"/>
  <x:drawing xmlns:r="http://schemas.openxmlformats.org/officeDocument/2006/relationships" r:id="Ra44f83aadf534bf6"/>
</x:worksheet>
</file>

<file path=xl/worksheets/sheet2.xml><?xml version="1.0" encoding="utf-8"?>
<x:worksheet xmlns:x="http://schemas.openxmlformats.org/spreadsheetml/2006/main">
  <x:sheetPr>
    <x:tabColor rgb="FF5B8DB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0" hidden="0" customWidth="1"/>
    <x:col min="5" max="5" width="11" hidden="0" customWidth="1"/>
    <x:col min="6" max="6" width="18" hidden="0" customWidth="1"/>
    <x:col min="7" max="7" width="56" hidden="0" customWidth="1"/>
    <x:col min="8" max="8" width="9" hidden="0" customWidth="1"/>
  </x:cols>
  <x:sheetData>
    <x:row r="1">
      <x:c r="A1" s="1" t="str">
        <x:v>Page-level completion</x:v>
      </x:c>
    </x:row>
    <x:row r="2" ht="26" customHeight="1">
      <x:c r="A2" s="25" t="str">
        <x:v>One row per navigation destination. Status is calculated from the completion column, so editing a percentage updates the sheet.</x:v>
      </x:c>
    </x:row>
    <x:row r="4" ht="22" customHeight="1">
      <x:c r="A4" s="9" t="str">
        <x:v>Module</x:v>
      </x:c>
      <x:c r="B4" s="9" t="str">
        <x:v>Page</x:v>
      </x:c>
      <x:c r="C4" s="9" t="str">
        <x:v>Route key</x:v>
      </x:c>
      <x:c r="D4" s="9" t="str">
        <x:v>Rendered by</x:v>
      </x:c>
      <x:c r="E4" s="9" t="str">
        <x:v>Completion</x:v>
      </x:c>
      <x:c r="F4" s="9" t="str">
        <x:v>Status</x:v>
      </x:c>
      <x:c r="G4" s="9" t="str">
        <x:v>Main gap</x:v>
      </x:c>
      <x:c r="H4" s="9" t="str">
        <x:v>Test files</x:v>
      </x:c>
    </x:row>
    <x:row r="5" ht="26" customHeight="1">
      <x:c r="A5" s="11" t="str">
        <x:v>Dashboard</x:v>
      </x:c>
      <x:c r="B5" s="11" t="str">
        <x:v>Dashboard</x:v>
      </x:c>
      <x:c r="C5" s="11" t="str">
        <x:v>Dashboard</x:v>
      </x:c>
      <x:c r="D5" s="11" t="str">
        <x:v>ExactDashboard</x:v>
      </x:c>
      <x:c r="E5" s="14" t="n">
        <x:v>0.85</x:v>
      </x:c>
      <x:c r="F5" s="16" t="str">
        <x:f>IF(E5&gt;=0.85,"Prototype-complete",IF(E5&gt;=0.7,"Usable, gaps",IF(E5&gt;=0.6,"Partial","Shell only")))</x:f>
        <x:v>Prototype-complete</x:v>
      </x:c>
      <x:c r="G5" s="18" t="str">
        <x:v>Metrics, charts and tasks are seeded demo data.</x:v>
      </x:c>
      <x:c r="H5" s="16" t="n">
        <x:v>2</x:v>
      </x:c>
    </x:row>
    <x:row r="6" ht="26" customHeight="1">
      <x:c r="A6" s="11" t="str">
        <x:v>Accounting</x:v>
      </x:c>
      <x:c r="B6" s="11" t="str">
        <x:v>Chart of Accounts</x:v>
      </x:c>
      <x:c r="C6" s="11" t="str">
        <x:v>Chart of Accounts</x:v>
      </x:c>
      <x:c r="D6" s="11" t="str">
        <x:v>AccountWorkspace</x:v>
      </x:c>
      <x:c r="E6" s="14" t="n">
        <x:v>0.95</x:v>
      </x:c>
      <x:c r="F6" s="16" t="str">
        <x:f>IF(E6&gt;=0.85,"Prototype-complete",IF(E6&gt;=0.7,"Usable, gaps",IF(E6&gt;=0.6,"Partial","Shell only")))</x:f>
        <x:v>Prototype-complete</x:v>
      </x:c>
      <x:c r="G6" s="18" t="str">
        <x:v>No .xlsx import; account-mapping admin screen still planned.</x:v>
      </x:c>
      <x:c r="H6" s="16" t="n">
        <x:v>11</x:v>
      </x:c>
    </x:row>
    <x:row r="7" ht="26" customHeight="1">
      <x:c r="A7" s="11" t="str">
        <x:v>Accounting</x:v>
      </x:c>
      <x:c r="B7" s="11" t="str">
        <x:v>Journal Entries</x:v>
      </x:c>
      <x:c r="C7" s="11" t="str">
        <x:v>Journal Entries</x:v>
      </x:c>
      <x:c r="D7" s="11" t="str">
        <x:v>JournalEntriesPro</x:v>
      </x:c>
      <x:c r="E7" s="14" t="n">
        <x:v>0.92</x:v>
      </x:c>
      <x:c r="F7" s="16" t="str">
        <x:f>IF(E7&gt;=0.85,"Prototype-complete",IF(E7&gt;=0.7,"Usable, gaps",IF(E7&gt;=0.6,"Partial","Shell only")))</x:f>
        <x:v>Prototype-complete</x:v>
      </x:c>
      <x:c r="G7" s="18" t="str">
        <x:v>No bulk edit; recurring entries are templates only.</x:v>
      </x:c>
      <x:c r="H7" s="16" t="n">
        <x:v>10</x:v>
      </x:c>
    </x:row>
    <x:row r="8" ht="26" customHeight="1">
      <x:c r="A8" s="11" t="str">
        <x:v>Accounting</x:v>
      </x:c>
      <x:c r="B8" s="11" t="str">
        <x:v>Budgets</x:v>
      </x:c>
      <x:c r="C8" s="11" t="str">
        <x:v>Budgets</x:v>
      </x:c>
      <x:c r="D8" s="11" t="str">
        <x:v>BudgetWorkspace</x:v>
      </x:c>
      <x:c r="E8" s="14" t="n">
        <x:v>0.9</x:v>
      </x:c>
      <x:c r="F8" s="16" t="str">
        <x:f>IF(E8&gt;=0.85,"Prototype-complete",IF(E8&gt;=0.7,"Usable, gaps",IF(E8&gt;=0.6,"Partial","Shell only")))</x:f>
        <x:v>Prototype-complete</x:v>
      </x:c>
      <x:c r="G8" s="18" t="str">
        <x:v>Approval lifecycle is local; no server planning engine.</x:v>
      </x:c>
      <x:c r="H8" s="16" t="n">
        <x:v>6</x:v>
      </x:c>
    </x:row>
    <x:row r="9" ht="26" customHeight="1">
      <x:c r="A9" s="11" t="str">
        <x:v>Accounting</x:v>
      </x:c>
      <x:c r="B9" s="11" t="str">
        <x:v>Period Lock</x:v>
      </x:c>
      <x:c r="C9" s="11" t="str">
        <x:v>Period Lock</x:v>
      </x:c>
      <x:c r="D9" s="11" t="str">
        <x:v>PeriodClosing</x:v>
      </x:c>
      <x:c r="E9" s="14" t="n">
        <x:v>0.88</x:v>
      </x:c>
      <x:c r="F9" s="16" t="str">
        <x:f>IF(E9&gt;=0.85,"Prototype-complete",IF(E9&gt;=0.7,"Usable, gaps",IF(E9&gt;=0.6,"Partial","Shell only")))</x:f>
        <x:v>Prototype-complete</x:v>
      </x:c>
      <x:c r="G9" s="18" t="str">
        <x:v>Roles are simulated, never authenticated.</x:v>
      </x:c>
      <x:c r="H9" s="16" t="n">
        <x:v>5</x:v>
      </x:c>
    </x:row>
    <x:row r="10" ht="26" customHeight="1">
      <x:c r="A10" s="11" t="str">
        <x:v>Inventory</x:v>
      </x:c>
      <x:c r="B10" s="11" t="str">
        <x:v>Items</x:v>
      </x:c>
      <x:c r="C10" s="11" t="str">
        <x:v>Items</x:v>
      </x:c>
      <x:c r="D10" s="11" t="str">
        <x:v>Items</x:v>
      </x:c>
      <x:c r="E10" s="14" t="n">
        <x:v>0.9</x:v>
      </x:c>
      <x:c r="F10" s="16" t="str">
        <x:f>IF(E10&gt;=0.85,"Prototype-complete",IF(E10&gt;=0.7,"Usable, gaps",IF(E10&gt;=0.6,"Partial","Shell only")))</x:f>
        <x:v>Prototype-complete</x:v>
      </x:c>
      <x:c r="G10" s="18" t="str">
        <x:v>No multi-location stock or alternative valuation methods.</x:v>
      </x:c>
      <x:c r="H10" s="16" t="n">
        <x:v>4</x:v>
      </x:c>
    </x:row>
    <x:row r="11" ht="26" customHeight="1">
      <x:c r="A11" s="11" t="str">
        <x:v>Inventory</x:v>
      </x:c>
      <x:c r="B11" s="11" t="str">
        <x:v>Inventory Adjustments</x:v>
      </x:c>
      <x:c r="C11" s="11" t="str">
        <x:v>Inventory Adjustments</x:v>
      </x:c>
      <x:c r="D11" s="11" t="str">
        <x:v>InventoryAdjustments</x:v>
      </x:c>
      <x:c r="E11" s="14" t="n">
        <x:v>0.88</x:v>
      </x:c>
      <x:c r="F11" s="16" t="str">
        <x:f>IF(E11&gt;=0.85,"Prototype-complete",IF(E11&gt;=0.7,"Usable, gaps",IF(E11&gt;=0.6,"Partial","Shell only")))</x:f>
        <x:v>Prototype-complete</x:v>
      </x:c>
      <x:c r="G11" s="18" t="str">
        <x:v>Approval step is local only.</x:v>
      </x:c>
      <x:c r="H11" s="16" t="n">
        <x:v>1</x:v>
      </x:c>
    </x:row>
    <x:row r="12" ht="26" customHeight="1">
      <x:c r="A12" s="11" t="str">
        <x:v>Sales</x:v>
      </x:c>
      <x:c r="B12" s="11" t="str">
        <x:v>Customers</x:v>
      </x:c>
      <x:c r="C12" s="11" t="str">
        <x:v>Customers</x:v>
      </x:c>
      <x:c r="D12" s="11" t="str">
        <x:v>Customers</x:v>
      </x:c>
      <x:c r="E12" s="14" t="n">
        <x:v>0.93</x:v>
      </x:c>
      <x:c r="F12" s="16" t="str">
        <x:f>IF(E12&gt;=0.85,"Prototype-complete",IF(E12&gt;=0.7,"Usable, gaps",IF(E12&gt;=0.6,"Partial","Shell only")))</x:f>
        <x:v>Prototype-complete</x:v>
      </x:c>
      <x:c r="G12" s="18" t="str">
        <x:v>Credit limit is recorded but not enforced at posting.</x:v>
      </x:c>
      <x:c r="H12" s="16" t="n">
        <x:v>3</x:v>
      </x:c>
    </x:row>
    <x:row r="13" ht="26" customHeight="1">
      <x:c r="A13" s="11" t="str">
        <x:v>Sales</x:v>
      </x:c>
      <x:c r="B13" s="11" t="str">
        <x:v>Sales Orders</x:v>
      </x:c>
      <x:c r="C13" s="11" t="str">
        <x:v>Sales Orders</x:v>
      </x:c>
      <x:c r="D13" s="11" t="str">
        <x:v>SalesOrders</x:v>
      </x:c>
      <x:c r="E13" s="14" t="n">
        <x:v>0.9</x:v>
      </x:c>
      <x:c r="F13" s="16" t="str">
        <x:f>IF(E13&gt;=0.85,"Prototype-complete",IF(E13&gt;=0.7,"Usable, gaps",IF(E13&gt;=0.6,"Partial","Shell only")))</x:f>
        <x:v>Prototype-complete</x:v>
      </x:c>
      <x:c r="G13" s="18" t="str">
        <x:v>No delivery or fulfilment tracking.</x:v>
      </x:c>
      <x:c r="H13" s="16" t="n">
        <x:v>4</x:v>
      </x:c>
    </x:row>
    <x:row r="14" ht="26" customHeight="1">
      <x:c r="A14" s="11" t="str">
        <x:v>Sales</x:v>
      </x:c>
      <x:c r="B14" s="11" t="str">
        <x:v>Invoices</x:v>
      </x:c>
      <x:c r="C14" s="11" t="str">
        <x:v>Invoices</x:v>
      </x:c>
      <x:c r="D14" s="11" t="str">
        <x:v>InvoiceWorkspace</x:v>
      </x:c>
      <x:c r="E14" s="14" t="n">
        <x:v>0.92</x:v>
      </x:c>
      <x:c r="F14" s="16" t="str">
        <x:f>IF(E14&gt;=0.85,"Prototype-complete",IF(E14&gt;=0.7,"Usable, gaps",IF(E14&gt;=0.6,"Partial","Shell only")))</x:f>
        <x:v>Prototype-complete</x:v>
      </x:c>
      <x:c r="G14" s="18" t="str">
        <x:v>No e-invoice/IRN and no payment gateway.</x:v>
      </x:c>
      <x:c r="H14" s="16" t="n">
        <x:v>5</x:v>
      </x:c>
    </x:row>
    <x:row r="15" ht="26" customHeight="1">
      <x:c r="A15" s="11" t="str">
        <x:v>Sales</x:v>
      </x:c>
      <x:c r="B15" s="11" t="str">
        <x:v>Credit Notes</x:v>
      </x:c>
      <x:c r="C15" s="11" t="str">
        <x:v>Credit Notes</x:v>
      </x:c>
      <x:c r="D15" s="11" t="str">
        <x:v>CreditNotes</x:v>
      </x:c>
      <x:c r="E15" s="14" t="n">
        <x:v>0.88</x:v>
      </x:c>
      <x:c r="F15" s="16" t="str">
        <x:f>IF(E15&gt;=0.85,"Prototype-complete",IF(E15&gt;=0.7,"Usable, gaps",IF(E15&gt;=0.6,"Partial","Shell only")))</x:f>
        <x:v>Prototype-complete</x:v>
      </x:c>
      <x:c r="G15" s="18" t="str">
        <x:v>Refund marking is manual.</x:v>
      </x:c>
      <x:c r="H15" s="16" t="n">
        <x:v>2</x:v>
      </x:c>
    </x:row>
    <x:row r="16" ht="26" customHeight="1">
      <x:c r="A16" s="11" t="str">
        <x:v>Sales</x:v>
      </x:c>
      <x:c r="B16" s="11" t="str">
        <x:v>Receipts</x:v>
      </x:c>
      <x:c r="C16" s="11" t="str">
        <x:v>Payments Received</x:v>
      </x:c>
      <x:c r="D16" s="11" t="str">
        <x:v>Receipts</x:v>
      </x:c>
      <x:c r="E16" s="14" t="n">
        <x:v>0.88</x:v>
      </x:c>
      <x:c r="F16" s="16" t="str">
        <x:f>IF(E16&gt;=0.85,"Prototype-complete",IF(E16&gt;=0.7,"Usable, gaps",IF(E16&gt;=0.6,"Partial","Shell only")))</x:f>
        <x:v>Prototype-complete</x:v>
      </x:c>
      <x:c r="G16" s="18" t="str">
        <x:v>No bank feed; advance liability is local.</x:v>
      </x:c>
      <x:c r="H16" s="16" t="n">
        <x:v>4</x:v>
      </x:c>
    </x:row>
    <x:row r="17" ht="26" customHeight="1">
      <x:c r="A17" s="11" t="str">
        <x:v>Purchases</x:v>
      </x:c>
      <x:c r="B17" s="11" t="str">
        <x:v>Vendors</x:v>
      </x:c>
      <x:c r="C17" s="11" t="str">
        <x:v>Vendors</x:v>
      </x:c>
      <x:c r="D17" s="11" t="str">
        <x:v>Vendors</x:v>
      </x:c>
      <x:c r="E17" s="14" t="n">
        <x:v>0.88</x:v>
      </x:c>
      <x:c r="F17" s="16" t="str">
        <x:f>IF(E17&gt;=0.85,"Prototype-complete",IF(E17&gt;=0.7,"Usable, gaps",IF(E17&gt;=0.6,"Partial","Shell only")))</x:f>
        <x:v>Prototype-complete</x:v>
      </x:c>
      <x:c r="G17" s="18" t="str">
        <x:v>No vendor portal or statement email.</x:v>
      </x:c>
      <x:c r="H17" s="16" t="n">
        <x:v>2</x:v>
      </x:c>
    </x:row>
    <x:row r="18" ht="26" customHeight="1">
      <x:c r="A18" s="11" t="str">
        <x:v>Purchases</x:v>
      </x:c>
      <x:c r="B18" s="11" t="str">
        <x:v>Purchase Orders</x:v>
      </x:c>
      <x:c r="C18" s="11" t="str">
        <x:v>Purchase Orders</x:v>
      </x:c>
      <x:c r="D18" s="11" t="str">
        <x:v>Purchases</x:v>
      </x:c>
      <x:c r="E18" s="14" t="n">
        <x:v>0.82</x:v>
      </x:c>
      <x:c r="F18" s="16" t="str">
        <x:f>IF(E18&gt;=0.85,"Prototype-complete",IF(E18&gt;=0.7,"Usable, gaps",IF(E18&gt;=0.6,"Partial","Shell only")))</x:f>
        <x:v>Usable, gaps</x:v>
      </x:c>
      <x:c r="G18" s="18" t="str">
        <x:v>Register header not migrated; no vendor email step.</x:v>
      </x:c>
      <x:c r="H18" s="16" t="n">
        <x:v>2</x:v>
      </x:c>
    </x:row>
    <x:row r="19" ht="26" customHeight="1">
      <x:c r="A19" s="11" t="str">
        <x:v>Purchases</x:v>
      </x:c>
      <x:c r="B19" s="11" t="str">
        <x:v>Purchase Bills</x:v>
      </x:c>
      <x:c r="C19" s="11" t="str">
        <x:v>Purchase Bills</x:v>
      </x:c>
      <x:c r="D19" s="11" t="str">
        <x:v>Purchases</x:v>
      </x:c>
      <x:c r="E19" s="14" t="n">
        <x:v>0.82</x:v>
      </x:c>
      <x:c r="F19" s="16" t="str">
        <x:f>IF(E19&gt;=0.85,"Prototype-complete",IF(E19&gt;=0.7,"Usable, gaps",IF(E19&gt;=0.6,"Partial","Shell only")))</x:f>
        <x:v>Usable, gaps</x:v>
      </x:c>
      <x:c r="G19" s="18" t="str">
        <x:v>Register header not migrated; three-way match is partial.</x:v>
      </x:c>
      <x:c r="H19" s="16" t="n">
        <x:v>2</x:v>
      </x:c>
    </x:row>
    <x:row r="20" ht="26" customHeight="1">
      <x:c r="A20" s="11" t="str">
        <x:v>Purchases</x:v>
      </x:c>
      <x:c r="B20" s="11" t="str">
        <x:v>Goods Receipts</x:v>
      </x:c>
      <x:c r="C20" s="11" t="str">
        <x:v>Goods Receipts</x:v>
      </x:c>
      <x:c r="D20" s="11" t="str">
        <x:v>GoodsReceipts</x:v>
      </x:c>
      <x:c r="E20" s="14" t="n">
        <x:v>0.78</x:v>
      </x:c>
      <x:c r="F20" s="16" t="str">
        <x:f>IF(E20&gt;=0.85,"Prototype-complete",IF(E20&gt;=0.7,"Usable, gaps",IF(E20&gt;=0.6,"Partial","Shell only")))</x:f>
        <x:v>Usable, gaps</x:v>
      </x:c>
      <x:c r="G20" s="18" t="str">
        <x:v>Register header not migrated; no inspection stage.</x:v>
      </x:c>
      <x:c r="H20" s="16" t="n">
        <x:v>2</x:v>
      </x:c>
    </x:row>
    <x:row r="21" ht="26" customHeight="1">
      <x:c r="A21" s="11" t="str">
        <x:v>Purchases</x:v>
      </x:c>
      <x:c r="B21" s="11" t="str">
        <x:v>Debit Notes</x:v>
      </x:c>
      <x:c r="C21" s="11" t="str">
        <x:v>Debit Notes</x:v>
      </x:c>
      <x:c r="D21" s="11" t="str">
        <x:v>DebitNotes</x:v>
      </x:c>
      <x:c r="E21" s="14" t="n">
        <x:v>0.86</x:v>
      </x:c>
      <x:c r="F21" s="16" t="str">
        <x:f>IF(E21&gt;=0.85,"Prototype-complete",IF(E21&gt;=0.7,"Usable, gaps",IF(E21&gt;=0.6,"Partial","Shell only")))</x:f>
        <x:v>Prototype-complete</x:v>
      </x:c>
      <x:c r="G21" s="18" t="str">
        <x:v>Register header not migrated; no TDS adjustment line.</x:v>
      </x:c>
      <x:c r="H21" s="16" t="n">
        <x:v>2</x:v>
      </x:c>
    </x:row>
    <x:row r="22" ht="26" customHeight="1">
      <x:c r="A22" s="11" t="str">
        <x:v>Purchases</x:v>
      </x:c>
      <x:c r="B22" s="11" t="str">
        <x:v>Vendor Payments</x:v>
      </x:c>
      <x:c r="C22" s="11" t="str">
        <x:v>Payments Made</x:v>
      </x:c>
      <x:c r="D22" s="11" t="str">
        <x:v>VendorPayments</x:v>
      </x:c>
      <x:c r="E22" s="14" t="n">
        <x:v>0.8</x:v>
      </x:c>
      <x:c r="F22" s="16" t="str">
        <x:f>IF(E22&gt;=0.85,"Prototype-complete",IF(E22&gt;=0.7,"Usable, gaps",IF(E22&gt;=0.6,"Partial","Shell only")))</x:f>
        <x:v>Usable, gaps</x:v>
      </x:c>
      <x:c r="G22" s="18" t="str">
        <x:v>Read-only by design; register header not migrated.</x:v>
      </x:c>
      <x:c r="H22" s="16" t="n">
        <x:v>2</x:v>
      </x:c>
    </x:row>
    <x:row r="23" ht="26" customHeight="1">
      <x:c r="A23" s="11" t="str">
        <x:v>Banking</x:v>
      </x:c>
      <x:c r="B23" s="11" t="str">
        <x:v>Bank Accounts</x:v>
      </x:c>
      <x:c r="C23" s="11" t="str">
        <x:v>Bank Accounts</x:v>
      </x:c>
      <x:c r="D23" s="11" t="str">
        <x:v>Banking</x:v>
      </x:c>
      <x:c r="E23" s="14" t="n">
        <x:v>0.78</x:v>
      </x:c>
      <x:c r="F23" s="16" t="str">
        <x:f>IF(E23&gt;=0.85,"Prototype-complete",IF(E23&gt;=0.7,"Usable, gaps",IF(E23&gt;=0.6,"Partial","Shell only")))</x:f>
        <x:v>Usable, gaps</x:v>
      </x:c>
      <x:c r="G23" s="18" t="str">
        <x:v>No live bank feed (CSV import only).</x:v>
      </x:c>
      <x:c r="H23" s="16" t="n">
        <x:v>3</x:v>
      </x:c>
    </x:row>
    <x:row r="24" ht="26" customHeight="1">
      <x:c r="A24" s="11" t="str">
        <x:v>Banking</x:v>
      </x:c>
      <x:c r="B24" s="11" t="str">
        <x:v>Bank Transactions</x:v>
      </x:c>
      <x:c r="C24" s="11" t="str">
        <x:v>Bank Transactions</x:v>
      </x:c>
      <x:c r="D24" s="11" t="str">
        <x:v>Banking</x:v>
      </x:c>
      <x:c r="E24" s="14" t="n">
        <x:v>0.75</x:v>
      </x:c>
      <x:c r="F24" s="16" t="str">
        <x:f>IF(E24&gt;=0.85,"Prototype-complete",IF(E24&gt;=0.7,"Usable, gaps",IF(E24&gt;=0.6,"Partial","Shell only")))</x:f>
        <x:v>Usable, gaps</x:v>
      </x:c>
      <x:c r="G24" s="18" t="str">
        <x:v>Categorisation rules are local only.</x:v>
      </x:c>
      <x:c r="H24" s="16" t="n">
        <x:v>3</x:v>
      </x:c>
    </x:row>
    <x:row r="25" ht="26" customHeight="1">
      <x:c r="A25" s="11" t="str">
        <x:v>Banking</x:v>
      </x:c>
      <x:c r="B25" s="11" t="str">
        <x:v>Bank Reconciliation</x:v>
      </x:c>
      <x:c r="C25" s="11" t="str">
        <x:v>Bank Reconciliation</x:v>
      </x:c>
      <x:c r="D25" s="11" t="str">
        <x:v>BankReconciliation</x:v>
      </x:c>
      <x:c r="E25" s="14" t="n">
        <x:v>0.78</x:v>
      </x:c>
      <x:c r="F25" s="16" t="str">
        <x:f>IF(E25&gt;=0.85,"Prototype-complete",IF(E25&gt;=0.7,"Usable, gaps",IF(E25&gt;=0.6,"Partial","Shell only")))</x:f>
        <x:v>Usable, gaps</x:v>
      </x:c>
      <x:c r="G25" s="18" t="str">
        <x:v>Matching is suggestion-based; nothing auto-completes.</x:v>
      </x:c>
      <x:c r="H25" s="16" t="n">
        <x:v>3</x:v>
      </x:c>
    </x:row>
    <x:row r="26" ht="26" customHeight="1">
      <x:c r="A26" s="11" t="str">
        <x:v>Banking</x:v>
      </x:c>
      <x:c r="B26" s="11" t="str">
        <x:v>Banking Settings</x:v>
      </x:c>
      <x:c r="C26" s="11" t="str">
        <x:v>Banking Settings</x:v>
      </x:c>
      <x:c r="D26" s="11" t="str">
        <x:v>Banking</x:v>
      </x:c>
      <x:c r="E26" s="14" t="n">
        <x:v>0.78</x:v>
      </x:c>
      <x:c r="F26" s="16" t="str">
        <x:f>IF(E26&gt;=0.85,"Prototype-complete",IF(E26&gt;=0.7,"Usable, gaps",IF(E26&gt;=0.6,"Partial","Shell only")))</x:f>
        <x:v>Usable, gaps</x:v>
      </x:c>
      <x:c r="G26" s="18" t="str">
        <x:v>Configuration is local only.</x:v>
      </x:c>
      <x:c r="H26" s="16" t="n">
        <x:v>3</x:v>
      </x:c>
    </x:row>
    <x:row r="27" ht="26" customHeight="1">
      <x:c r="A27" s="11" t="str">
        <x:v>Expenses</x:v>
      </x:c>
      <x:c r="B27" s="11" t="str">
        <x:v>Expense Claims</x:v>
      </x:c>
      <x:c r="C27" s="11" t="str">
        <x:v>Expense Claims</x:v>
      </x:c>
      <x:c r="D27" s="11" t="str">
        <x:v>OperationalModules</x:v>
      </x:c>
      <x:c r="E27" s="14" t="n">
        <x:v>0.7</x:v>
      </x:c>
      <x:c r="F27" s="16" t="str">
        <x:f>IF(E27&gt;=0.85,"Prototype-complete",IF(E27&gt;=0.7,"Usable, gaps",IF(E27&gt;=0.6,"Partial","Shell only")))</x:f>
        <x:v>Usable, gaps</x:v>
      </x:c>
      <x:c r="G27" s="18" t="str">
        <x:v>No approval chain or reimbursement payout; thin tests.</x:v>
      </x:c>
      <x:c r="H27" s="16" t="n">
        <x:v>2</x:v>
      </x:c>
    </x:row>
    <x:row r="28" ht="26" customHeight="1">
      <x:c r="A28" s="11" t="str">
        <x:v>Expenses</x:v>
      </x:c>
      <x:c r="B28" s="11" t="str">
        <x:v>Expense Categories</x:v>
      </x:c>
      <x:c r="C28" s="11" t="str">
        <x:v>Expense Categories</x:v>
      </x:c>
      <x:c r="D28" s="11" t="str">
        <x:v>OperationalModules</x:v>
      </x:c>
      <x:c r="E28" s="14" t="n">
        <x:v>0.68</x:v>
      </x:c>
      <x:c r="F28" s="16" t="str">
        <x:f>IF(E28&gt;=0.85,"Prototype-complete",IF(E28&gt;=0.7,"Usable, gaps",IF(E28&gt;=0.6,"Partial","Shell only")))</x:f>
        <x:v>Partial</x:v>
      </x:c>
      <x:c r="G28" s="18" t="str">
        <x:v>No per-category budget linkage; shared ops shell.</x:v>
      </x:c>
      <x:c r="H28" s="16" t="n">
        <x:v>2</x:v>
      </x:c>
    </x:row>
    <x:row r="29" ht="26" customHeight="1">
      <x:c r="A29" s="11" t="str">
        <x:v>Assets</x:v>
      </x:c>
      <x:c r="B29" s="11" t="str">
        <x:v>Asset Register</x:v>
      </x:c>
      <x:c r="C29" s="11" t="str">
        <x:v>Asset Register</x:v>
      </x:c>
      <x:c r="D29" s="11" t="str">
        <x:v>OperationalModules</x:v>
      </x:c>
      <x:c r="E29" s="14" t="n">
        <x:v>0.68</x:v>
      </x:c>
      <x:c r="F29" s="16" t="str">
        <x:f>IF(E29&gt;=0.85,"Prototype-complete",IF(E29&gt;=0.7,"Usable, gaps",IF(E29&gt;=0.6,"Partial","Shell only")))</x:f>
        <x:v>Partial</x:v>
      </x:c>
      <x:c r="G29" s="18" t="str">
        <x:v>No disposal flow or revaluation.</x:v>
      </x:c>
      <x:c r="H29" s="16" t="n">
        <x:v>2</x:v>
      </x:c>
    </x:row>
    <x:row r="30" ht="26" customHeight="1">
      <x:c r="A30" s="11" t="str">
        <x:v>Assets</x:v>
      </x:c>
      <x:c r="B30" s="11" t="str">
        <x:v>Depreciation</x:v>
      </x:c>
      <x:c r="C30" s="11" t="str">
        <x:v>Depreciation</x:v>
      </x:c>
      <x:c r="D30" s="11" t="str">
        <x:v>OperationalModules</x:v>
      </x:c>
      <x:c r="E30" s="14" t="n">
        <x:v>0.65</x:v>
      </x:c>
      <x:c r="F30" s="16" t="str">
        <x:f>IF(E30&gt;=0.85,"Prototype-complete",IF(E30&gt;=0.7,"Usable, gaps",IF(E30&gt;=0.6,"Partial","Shell only")))</x:f>
        <x:v>Partial</x:v>
      </x:c>
      <x:c r="G30" s="18" t="str">
        <x:v>One method per class; no bulk schedule run.</x:v>
      </x:c>
      <x:c r="H30" s="16" t="n">
        <x:v>2</x:v>
      </x:c>
    </x:row>
    <x:row r="31" ht="26" customHeight="1">
      <x:c r="A31" s="11" t="str">
        <x:v>Assets</x:v>
      </x:c>
      <x:c r="B31" s="11" t="str">
        <x:v>Asset Transactions</x:v>
      </x:c>
      <x:c r="C31" s="11" t="str">
        <x:v>Asset Transactions</x:v>
      </x:c>
      <x:c r="D31" s="11" t="str">
        <x:v>OperationalModules</x:v>
      </x:c>
      <x:c r="E31" s="14" t="n">
        <x:v>0.62</x:v>
      </x:c>
      <x:c r="F31" s="16" t="str">
        <x:f>IF(E31&gt;=0.85,"Prototype-complete",IF(E31&gt;=0.7,"Usable, gaps",IF(E31&gt;=0.6,"Partial","Shell only")))</x:f>
        <x:v>Partial</x:v>
      </x:c>
      <x:c r="G31" s="18" t="str">
        <x:v>Read-only lifecycle view.</x:v>
      </x:c>
      <x:c r="H31" s="16" t="n">
        <x:v>2</x:v>
      </x:c>
    </x:row>
    <x:row r="32" ht="26" customHeight="1">
      <x:c r="A32" s="11" t="str">
        <x:v>Tax</x:v>
      </x:c>
      <x:c r="B32" s="11" t="str">
        <x:v>GST</x:v>
      </x:c>
      <x:c r="C32" s="11" t="str">
        <x:v>GST Reports</x:v>
      </x:c>
      <x:c r="D32" s="11" t="str">
        <x:v>OperationalModules</x:v>
      </x:c>
      <x:c r="E32" s="14" t="n">
        <x:v>0.6</x:v>
      </x:c>
      <x:c r="F32" s="16" t="str">
        <x:f>IF(E32&gt;=0.85,"Prototype-complete",IF(E32&gt;=0.7,"Usable, gaps",IF(E32&gt;=0.6,"Partial","Shell only")))</x:f>
        <x:v>Partial</x:v>
      </x:c>
      <x:c r="G32" s="18" t="str">
        <x:v>Read-only monitor; no GSTR-1/3B file generation.</x:v>
      </x:c>
      <x:c r="H32" s="16" t="n">
        <x:v>2</x:v>
      </x:c>
    </x:row>
    <x:row r="33" ht="26" customHeight="1">
      <x:c r="A33" s="11" t="str">
        <x:v>Tax</x:v>
      </x:c>
      <x:c r="B33" s="11" t="str">
        <x:v>TDS</x:v>
      </x:c>
      <x:c r="C33" s="11" t="str">
        <x:v>TDS Reports</x:v>
      </x:c>
      <x:c r="D33" s="11" t="str">
        <x:v>OperationalModules</x:v>
      </x:c>
      <x:c r="E33" s="14" t="n">
        <x:v>0.6</x:v>
      </x:c>
      <x:c r="F33" s="16" t="str">
        <x:f>IF(E33&gt;=0.85,"Prototype-complete",IF(E33&gt;=0.7,"Usable, gaps",IF(E33&gt;=0.6,"Partial","Shell only")))</x:f>
        <x:v>Partial</x:v>
      </x:c>
      <x:c r="G33" s="18" t="str">
        <x:v>Read-only monitor; no challan or return generation.</x:v>
      </x:c>
      <x:c r="H33" s="16" t="n">
        <x:v>2</x:v>
      </x:c>
    </x:row>
    <x:row r="34" ht="26" customHeight="1">
      <x:c r="A34" s="11" t="str">
        <x:v>Reports</x:v>
      </x:c>
      <x:c r="B34" s="11" t="str">
        <x:v>Transaction Register</x:v>
      </x:c>
      <x:c r="C34" s="11" t="str">
        <x:v>Transaction Register</x:v>
      </x:c>
      <x:c r="D34" s="11" t="str">
        <x:v>TransactionRegister</x:v>
      </x:c>
      <x:c r="E34" s="14" t="n">
        <x:v>0.78</x:v>
      </x:c>
      <x:c r="F34" s="16" t="str">
        <x:f>IF(E34&gt;=0.85,"Prototype-complete",IF(E34&gt;=0.7,"Usable, gaps",IF(E34&gt;=0.6,"Partial","Shell only")))</x:f>
        <x:v>Usable, gaps</x:v>
      </x:c>
      <x:c r="G34" s="18" t="str">
        <x:v>No drill-through to every source type.</x:v>
      </x:c>
      <x:c r="H34" s="16" t="n">
        <x:v>1</x:v>
      </x:c>
    </x:row>
    <x:row r="35" ht="26" customHeight="1">
      <x:c r="A35" s="11" t="str">
        <x:v>Reports</x:v>
      </x:c>
      <x:c r="B35" s="11" t="str">
        <x:v>Balance Sheet</x:v>
      </x:c>
      <x:c r="C35" s="11" t="str">
        <x:v>Balance Sheet</x:v>
      </x:c>
      <x:c r="D35" s="11" t="str">
        <x:v>BalanceSheet</x:v>
      </x:c>
      <x:c r="E35" s="14" t="n">
        <x:v>0.82</x:v>
      </x:c>
      <x:c r="F35" s="16" t="str">
        <x:f>IF(E35&gt;=0.85,"Prototype-complete",IF(E35&gt;=0.7,"Usable, gaps",IF(E35&gt;=0.6,"Partial","Shell only")))</x:f>
        <x:v>Usable, gaps</x:v>
      </x:c>
      <x:c r="G35" s="18" t="str">
        <x:v>Totals mix posted journals with demo seeds.</x:v>
      </x:c>
      <x:c r="H35" s="16" t="n">
        <x:v>1</x:v>
      </x:c>
    </x:row>
    <x:row r="36" ht="26" customHeight="1">
      <x:c r="A36" s="11" t="str">
        <x:v>Reports</x:v>
      </x:c>
      <x:c r="B36" s="11" t="str">
        <x:v>Profit &amp; Loss</x:v>
      </x:c>
      <x:c r="C36" s="11" t="str">
        <x:v>Financial Reports</x:v>
      </x:c>
      <x:c r="D36" s="11" t="str">
        <x:v>OperationalModules</x:v>
      </x:c>
      <x:c r="E36" s="14" t="n">
        <x:v>0.68</x:v>
      </x:c>
      <x:c r="F36" s="16" t="str">
        <x:f>IF(E36&gt;=0.85,"Prototype-complete",IF(E36&gt;=0.7,"Usable, gaps",IF(E36&gt;=0.6,"Partial","Shell only")))</x:f>
        <x:v>Partial</x:v>
      </x:c>
      <x:c r="G36" s="18" t="str">
        <x:v>Shares the reports index; no comparative periods.</x:v>
      </x:c>
      <x:c r="H36" s="16" t="n">
        <x:v>1</x:v>
      </x:c>
    </x:row>
    <x:row r="37" ht="26" customHeight="1">
      <x:c r="A37" s="11" t="str">
        <x:v>Reports</x:v>
      </x:c>
      <x:c r="B37" s="11" t="str">
        <x:v>Cash Flow Statement</x:v>
      </x:c>
      <x:c r="C37" s="11" t="str">
        <x:v>Financial Reports</x:v>
      </x:c>
      <x:c r="D37" s="11" t="str">
        <x:v>OperationalModules</x:v>
      </x:c>
      <x:c r="E37" s="14" t="n">
        <x:v>0.68</x:v>
      </x:c>
      <x:c r="F37" s="16" t="str">
        <x:f>IF(E37&gt;=0.85,"Prototype-complete",IF(E37&gt;=0.7,"Usable, gaps",IF(E37&gt;=0.6,"Partial","Shell only")))</x:f>
        <x:v>Partial</x:v>
      </x:c>
      <x:c r="G37" s="18" t="str">
        <x:v>Same page as Profit &amp; Loss; indirect method only.</x:v>
      </x:c>
      <x:c r="H37" s="16" t="n">
        <x:v>1</x:v>
      </x:c>
    </x:row>
    <x:row r="38" ht="26" customHeight="1">
      <x:c r="A38" s="11" t="str">
        <x:v>Reports</x:v>
      </x:c>
      <x:c r="B38" s="11" t="str">
        <x:v>Trial Balance</x:v>
      </x:c>
      <x:c r="C38" s="11" t="str">
        <x:v>Trial Balance</x:v>
      </x:c>
      <x:c r="D38" s="11" t="str">
        <x:v>InvoiceWorkspace</x:v>
      </x:c>
      <x:c r="E38" s="14" t="n">
        <x:v>0.7</x:v>
      </x:c>
      <x:c r="F38" s="16" t="str">
        <x:f>IF(E38&gt;=0.85,"Prototype-complete",IF(E38&gt;=0.7,"Usable, gaps",IF(E38&gt;=0.6,"Partial","Shell only")))</x:f>
        <x:v>Usable, gaps</x:v>
      </x:c>
      <x:c r="G38" s="18" t="str">
        <x:v>No grouping or level control.</x:v>
      </x:c>
      <x:c r="H38" s="16" t="n">
        <x:v>1</x:v>
      </x:c>
    </x:row>
    <x:row r="39" ht="26" customHeight="1">
      <x:c r="A39" s="11" t="str">
        <x:v>Reports</x:v>
      </x:c>
      <x:c r="B39" s="11" t="str">
        <x:v>General Ledger</x:v>
      </x:c>
      <x:c r="C39" s="11" t="str">
        <x:v>General Ledger</x:v>
      </x:c>
      <x:c r="D39" s="11" t="str">
        <x:v>GeneralLedgerPro</x:v>
      </x:c>
      <x:c r="E39" s="14" t="n">
        <x:v>0.86</x:v>
      </x:c>
      <x:c r="F39" s="16" t="str">
        <x:f>IF(E39&gt;=0.85,"Prototype-complete",IF(E39&gt;=0.7,"Usable, gaps",IF(E39&gt;=0.6,"Partial","Shell only")))</x:f>
        <x:v>Prototype-complete</x:v>
      </x:c>
      <x:c r="G39" s="18" t="str">
        <x:v>No file export.</x:v>
      </x:c>
      <x:c r="H39" s="16" t="n">
        <x:v>1</x:v>
      </x:c>
    </x:row>
    <x:row r="40" ht="26" customHeight="1">
      <x:c r="A40" s="11" t="str">
        <x:v>Reports</x:v>
      </x:c>
      <x:c r="B40" s="11" t="str">
        <x:v>Account Ledger</x:v>
      </x:c>
      <x:c r="C40" s="11" t="str">
        <x:v>General Ledger</x:v>
      </x:c>
      <x:c r="D40" s="11" t="str">
        <x:v>GeneralLedgerPro</x:v>
      </x:c>
      <x:c r="E40" s="14" t="n">
        <x:v>0.86</x:v>
      </x:c>
      <x:c r="F40" s="16" t="str">
        <x:f>IF(E40&gt;=0.85,"Prototype-complete",IF(E40&gt;=0.7,"Usable, gaps",IF(E40&gt;=0.6,"Partial","Shell only")))</x:f>
        <x:v>Prototype-complete</x:v>
      </x:c>
      <x:c r="G40" s="18" t="str">
        <x:v>Same page as General Ledger.</x:v>
      </x:c>
      <x:c r="H40" s="16" t="n">
        <x:v>1</x:v>
      </x:c>
    </x:row>
    <x:row r="41" ht="26" customHeight="1">
      <x:c r="A41" s="11" t="str">
        <x:v>Reports</x:v>
      </x:c>
      <x:c r="B41" s="11" t="str">
        <x:v>Day Book</x:v>
      </x:c>
      <x:c r="C41" s="11" t="str">
        <x:v>Day Book</x:v>
      </x:c>
      <x:c r="D41" s="11" t="str">
        <x:v>DayBook</x:v>
      </x:c>
      <x:c r="E41" s="14" t="n">
        <x:v>0.8</x:v>
      </x:c>
      <x:c r="F41" s="16" t="str">
        <x:f>IF(E41&gt;=0.85,"Prototype-complete",IF(E41&gt;=0.7,"Usable, gaps",IF(E41&gt;=0.6,"Partial","Shell only")))</x:f>
        <x:v>Usable, gaps</x:v>
      </x:c>
      <x:c r="G41" s="18" t="str">
        <x:v>Read-only, no export.</x:v>
      </x:c>
      <x:c r="H41" s="16" t="n">
        <x:v>1</x:v>
      </x:c>
    </x:row>
    <x:row r="42" ht="26" customHeight="1">
      <x:c r="A42" s="11" t="str">
        <x:v>Reports</x:v>
      </x:c>
      <x:c r="B42" s="11" t="str">
        <x:v>Purchase Reports</x:v>
      </x:c>
      <x:c r="C42" s="11" t="str">
        <x:v>Purchase Reports</x:v>
      </x:c>
      <x:c r="D42" s="11" t="str">
        <x:v>PurchaseReports</x:v>
      </x:c>
      <x:c r="E42" s="14" t="n">
        <x:v>0.66</x:v>
      </x:c>
      <x:c r="F42" s="16" t="str">
        <x:f>IF(E42&gt;=0.85,"Prototype-complete",IF(E42&gt;=0.7,"Usable, gaps",IF(E42&gt;=0.6,"Partial","Shell only")))</x:f>
        <x:v>Partial</x:v>
      </x:c>
      <x:c r="G42" s="18" t="str">
        <x:v>Thin scope; register header not migrated.</x:v>
      </x:c>
      <x:c r="H42" s="16" t="n">
        <x:v>1</x:v>
      </x:c>
    </x:row>
    <x:row r="43" ht="26" customHeight="1">
      <x:c r="A43" s="11" t="str">
        <x:v>Reports</x:v>
      </x:c>
      <x:c r="B43" s="11" t="str">
        <x:v>Audit Log</x:v>
      </x:c>
      <x:c r="C43" s="11" t="str">
        <x:v>Audit Log</x:v>
      </x:c>
      <x:c r="D43" s="11" t="str">
        <x:v>AuditLog</x:v>
      </x:c>
      <x:c r="E43" s="14" t="n">
        <x:v>0.7</x:v>
      </x:c>
      <x:c r="F43" s="16" t="str">
        <x:f>IF(E43&gt;=0.85,"Prototype-complete",IF(E43&gt;=0.7,"Usable, gaps",IF(E43&gt;=0.6,"Partial","Shell only")))</x:f>
        <x:v>Usable, gaps</x:v>
      </x:c>
      <x:c r="G43" s="18" t="str">
        <x:v>Read-only list; no module filters.</x:v>
      </x:c>
      <x:c r="H43" s="16" t="n">
        <x:v>1</x:v>
      </x:c>
    </x:row>
    <x:row r="44" ht="26" customHeight="1">
      <x:c r="A44" s="11" t="str">
        <x:v>Settings</x:v>
      </x:c>
      <x:c r="B44" s="11" t="str">
        <x:v>Settings Center</x:v>
      </x:c>
      <x:c r="C44" s="11" t="str">
        <x:v>Settings Center</x:v>
      </x:c>
      <x:c r="D44" s="11" t="str">
        <x:v>SettingsWorkspace</x:v>
      </x:c>
      <x:c r="E44" s="14" t="n">
        <x:v>0.72</x:v>
      </x:c>
      <x:c r="F44" s="16" t="str">
        <x:f>IF(E44&gt;=0.85,"Prototype-complete",IF(E44&gt;=0.7,"Usable, gaps",IF(E44&gt;=0.6,"Partial","Shell only")))</x:f>
        <x:v>Usable, gaps</x:v>
      </x:c>
      <x:c r="G44" s="18" t="str">
        <x:v>18 sections, local storage only.</x:v>
      </x:c>
      <x:c r="H44" s="16" t="n">
        <x:v>2</x:v>
      </x:c>
    </x:row>
    <x:row r="45" ht="26" customHeight="1">
      <x:c r="A45" s="11" t="str">
        <x:v>Settings</x:v>
      </x:c>
      <x:c r="B45" s="11" t="str">
        <x:v>Company</x:v>
      </x:c>
      <x:c r="C45" s="11" t="str">
        <x:v>Company</x:v>
      </x:c>
      <x:c r="D45" s="11" t="str">
        <x:v>OrgList / CompanySetup</x:v>
      </x:c>
      <x:c r="E45" s="14" t="n">
        <x:v>0.7</x:v>
      </x:c>
      <x:c r="F45" s="16" t="str">
        <x:f>IF(E45&gt;=0.85,"Prototype-complete",IF(E45&gt;=0.7,"Usable, gaps",IF(E45&gt;=0.6,"Partial","Shell only")))</x:f>
        <x:v>Usable, gaps</x:v>
      </x:c>
      <x:c r="G45" s="18" t="str">
        <x:v>No delete or merge of organisations.</x:v>
      </x:c>
      <x:c r="H45" s="16" t="n">
        <x:v>1</x:v>
      </x:c>
    </x:row>
    <x:row r="46" ht="26" customHeight="1">
      <x:c r="A46" s="11" t="str">
        <x:v>Settings</x:v>
      </x:c>
      <x:c r="B46" s="11" t="str">
        <x:v>Branch</x:v>
      </x:c>
      <x:c r="C46" s="11" t="str">
        <x:v>Branches</x:v>
      </x:c>
      <x:c r="D46" s="11" t="str">
        <x:v>OrgList</x:v>
      </x:c>
      <x:c r="E46" s="14" t="n">
        <x:v>0.7</x:v>
      </x:c>
      <x:c r="F46" s="16" t="str">
        <x:f>IF(E46&gt;=0.85,"Prototype-complete",IF(E46&gt;=0.7,"Usable, gaps",IF(E46&gt;=0.6,"Partial","Shell only")))</x:f>
        <x:v>Usable, gaps</x:v>
      </x:c>
      <x:c r="G46" s="18" t="str">
        <x:v>Same shell as Company.</x:v>
      </x:c>
      <x:c r="H46" s="16" t="n">
        <x:v>1</x:v>
      </x:c>
    </x:row>
    <x:row r="47" ht="26" customHeight="1">
      <x:c r="A47" s="11" t="str">
        <x:v>Help</x:v>
      </x:c>
      <x:c r="B47" s="11" t="str">
        <x:v>Help Center</x:v>
      </x:c>
      <x:c r="C47" s="11" t="str">
        <x:v>Help Center</x:v>
      </x:c>
      <x:c r="D47" s="11" t="str">
        <x:v>HelpCenter</x:v>
      </x:c>
      <x:c r="E47" s="14" t="n">
        <x:v>0.65</x:v>
      </x:c>
      <x:c r="F47" s="16" t="str">
        <x:f>IF(E47&gt;=0.85,"Prototype-complete",IF(E47&gt;=0.7,"Usable, gaps",IF(E47&gt;=0.6,"Partial","Shell only")))</x:f>
        <x:v>Partial</x:v>
      </x:c>
      <x:c r="G47" s="18" t="str">
        <x:v>Static guidance content.</x:v>
      </x:c>
      <x:c r="H47" s="16" t="n">
        <x:v>1</x:v>
      </x:c>
    </x:row>
  </x:sheetData>
  <x:mergeCells>
    <x:mergeCell ref="A2:H2"/>
  </x:mergeCells>
  <x:conditionalFormatting sqref="E5:E47">
    <x:cfRule type="colorScale" priority="1">
      <x:colorScale>
        <x:cfvo type="min"/>
        <x:cfvo type="percentile" val="55"/>
        <x:cfvo type="max"/>
        <x:color rgb="FFC0392B"/>
        <x:color rgb="FFE8A33D"/>
        <x:color rgb="FF2E7D4F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FAFC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62" hidden="0" customWidth="1"/>
    <x:col min="4" max="4" width="50" hidden="0" customWidth="1"/>
    <x:col min="5" max="5" width="42" hidden="0" customWidth="1"/>
  </x:cols>
  <x:sheetData>
    <x:row r="1">
      <x:c r="A1" s="1" t="str">
        <x:v>Remaining work, in priority order</x:v>
      </x:c>
    </x:row>
    <x:row r="3" ht="22" customHeight="1">
      <x:c r="A3" s="9" t="str">
        <x:v>Priority</x:v>
      </x:c>
      <x:c r="B3" s="9" t="str">
        <x:v>Area</x:v>
      </x:c>
      <x:c r="C3" s="9" t="str">
        <x:v>Action</x:v>
      </x:c>
      <x:c r="D3" s="9" t="str">
        <x:v>Why it matters</x:v>
      </x:c>
      <x:c r="E3" s="9" t="str">
        <x:v>Where</x:v>
      </x:c>
    </x:row>
    <x:row r="4" ht="34" customHeight="1">
      <x:c r="A4" s="27" t="str">
        <x:v>P0</x:v>
      </x:c>
      <x:c r="B4" s="26" t="str">
        <x:v>Router</x:v>
      </x:c>
      <x:c r="C4" s="18" t="str">
        <x:v>Replace the catch-all placeholder screen with an explicit route map or a real not-found page.</x:v>
      </x:c>
      <x:c r="D4" s="18" t="str">
        <x:v>Any new page name silently renders placeholder copy instead of failing loudly.</x:v>
      </x:c>
      <x:c r="E4" s="18" t="str">
        <x:v>src/App.jsx (page dispatch)</x:v>
      </x:c>
    </x:row>
    <x:row r="5" ht="34" customHeight="1">
      <x:c r="A5" s="27" t="str">
        <x:v>P0</x:v>
      </x:c>
      <x:c r="B5" s="26" t="str">
        <x:v>Dead code</x:v>
      </x:c>
      <x:c r="C5" s="18" t="str">
        <x:v>Delete the unreachable legacy GeneralLedger component, ledgerRows and the Panel/Donut/stats helpers.</x:v>
      </x:c>
      <x:c r="D5" s="18" t="str">
        <x:v>Two General Ledger implementations confuse the next reader of the router.</x:v>
      </x:c>
      <x:c r="E5" s="18" t="str">
        <x:v>src/App.jsx</x:v>
      </x:c>
    </x:row>
    <x:row r="6" ht="34" customHeight="1">
      <x:c r="A6" s="27" t="str">
        <x:v>P0</x:v>
      </x:c>
      <x:c r="B6" s="26" t="str">
        <x:v>Purchases</x:v>
      </x:c>
      <x:c r="C6" s="18" t="str">
        <x:v>Migrate the five purchase registers onto the shared register row: Purchase Orders, Purchase Bills, Goods Receipts, Debit Notes, Vendor Payments.</x:v>
      </x:c>
      <x:c r="D6" s="18" t="str">
        <x:v>They are the last registers on the old header, so the module reads as a different product.</x:v>
      </x:c>
      <x:c r="E6" s="18" t="str">
        <x:v>src/Purchases.jsx, GoodsReceipts.jsx, DebitNotes.jsx, VendorPayments.jsx</x:v>
      </x:c>
    </x:row>
    <x:row r="7" ht="34" customHeight="1">
      <x:c r="A7" s="27" t="str">
        <x:v>P0</x:v>
      </x:c>
      <x:c r="B7" s="26" t="str">
        <x:v>Expenses, Assets, Tax</x:v>
      </x:c>
      <x:c r="C7" s="18" t="str">
        <x:v>Move the eight operational pages off the opsPage/opsHead shell onto the register pattern.</x:v>
      </x:c>
      <x:c r="D7" s="18" t="str">
        <x:v>Largest remaining visual inconsistency: pre-register headings, spacing and tables.</x:v>
      </x:c>
      <x:c r="E7" s="18" t="str">
        <x:v>src/OperationalModules.jsx, operational-modules.css</x:v>
      </x:c>
    </x:row>
    <x:row r="8" ht="34" customHeight="1">
      <x:c r="A8" s="27" t="str">
        <x:v>P0</x:v>
      </x:c>
      <x:c r="B8" s="26" t="str">
        <x:v>Banking</x:v>
      </x:c>
      <x:c r="C8" s="18" t="str">
        <x:v>Align the four banking pages with the same page container and register row.</x:v>
      </x:c>
      <x:c r="D8" s="18" t="str">
        <x:v>Same container inconsistency as the operational pages.</x:v>
      </x:c>
      <x:c r="E8" s="18" t="str">
        <x:v>src/Banking.jsx, BankReconciliation.jsx, BankingSettings.jsx</x:v>
      </x:c>
    </x:row>
    <x:row r="9" ht="34" customHeight="1">
      <x:c r="A9" s="27" t="str">
        <x:v>P0</x:v>
      </x:c>
      <x:c r="B9" s="26" t="str">
        <x:v>Reports</x:v>
      </x:c>
      <x:c r="C9" s="18" t="str">
        <x:v>Bring Transaction Register, Trial Balance, Purchase Reports and Audit Log onto the shared container.</x:v>
      </x:c>
      <x:c r="D9" s="18" t="str">
        <x:v>Report pages carry their own padding and headers.</x:v>
      </x:c>
      <x:c r="E9" s="18" t="str">
        <x:v>src/TransactionRegister.jsx, PurchaseReports.jsx, AuditLog.jsx</x:v>
      </x:c>
    </x:row>
    <x:row r="10" ht="34" customHeight="1">
      <x:c r="A10" s="27" t="str">
        <x:v>P1</x:v>
      </x:c>
      <x:c r="B10" s="26" t="str">
        <x:v>Tests</x:v>
      </x:c>
      <x:c r="C10" s="18" t="str">
        <x:v>Raise the thin suites: operational-modules-ui, settings-ui and help-center, against the depth of inventory-adjustments (432 lines).</x:v>
      </x:c>
      <x:c r="D10" s="18" t="str">
        <x:v>The least tested areas are exactly where the functional gaps are.</x:v>
      </x:c>
      <x:c r="E10" s="18" t="str">
        <x:v>tests/</x:v>
      </x:c>
    </x:row>
    <x:row r="11" ht="34" customHeight="1">
      <x:c r="A11" s="27" t="str">
        <x:v>P1</x:v>
      </x:c>
      <x:c r="B11" s="26" t="str">
        <x:v>Tax</x:v>
      </x:c>
      <x:c r="C11" s="18" t="str">
        <x:v>Turn the GST and TDS monitors into filing preparation output.</x:v>
      </x:c>
      <x:c r="D11" s="18" t="str">
        <x:v>Statutory filing is the purpose of the module; both pages are read-only today.</x:v>
      </x:c>
      <x:c r="E11" s="18" t="str">
        <x:v>src/OperationalModules.jsx</x:v>
      </x:c>
    </x:row>
    <x:row r="12" ht="34" customHeight="1">
      <x:c r="A12" s="27" t="str">
        <x:v>P1</x:v>
      </x:c>
      <x:c r="B12" s="26" t="str">
        <x:v>Assets</x:v>
      </x:c>
      <x:c r="C12" s="18" t="str">
        <x:v>Add disposal and revaluation flows with their postings.</x:v>
      </x:c>
      <x:c r="D12" s="18" t="str">
        <x:v>Book value is left wrong once an asset is sold or revalued.</x:v>
      </x:c>
      <x:c r="E12" s="18" t="str">
        <x:v>src/operations-store.js</x:v>
      </x:c>
    </x:row>
    <x:row r="13" ht="34" customHeight="1">
      <x:c r="A13" s="27" t="str">
        <x:v>P1</x:v>
      </x:c>
      <x:c r="B13" s="26" t="str">
        <x:v>Expenses</x:v>
      </x:c>
      <x:c r="C13" s="18" t="str">
        <x:v>Add the approval chain and the reimbursement payout posting.</x:v>
      </x:c>
      <x:c r="D13" s="18" t="str">
        <x:v>Claims stop at creation; nothing settles them.</x:v>
      </x:c>
      <x:c r="E13" s="18" t="str">
        <x:v>src/operations-store.js</x:v>
      </x:c>
    </x:row>
    <x:row r="14" ht="34" customHeight="1">
      <x:c r="A14" s="27" t="str">
        <x:v>P1</x:v>
      </x:c>
      <x:c r="B14" s="26" t="str">
        <x:v>Chart of Accounts</x:v>
      </x:c>
      <x:c r="C14" s="18" t="str">
        <x:v>Add .xlsx import beside the existing CSV path.</x:v>
      </x:c>
      <x:c r="D14" s="18" t="str">
        <x:v>Named as a production gap in the roadmap.</x:v>
      </x:c>
      <x:c r="E14" s="18" t="str">
        <x:v>src/account-master.js</x:v>
      </x:c>
    </x:row>
    <x:row r="15" ht="34" customHeight="1">
      <x:c r="A15" s="27" t="str">
        <x:v>P1</x:v>
      </x:c>
      <x:c r="B15" s="26" t="str">
        <x:v>Reports</x:v>
      </x:c>
      <x:c r="C15" s="18" t="str">
        <x:v>Add file export where it is missing: General Ledger, Day Book and Trial Balance.</x:v>
      </x:c>
      <x:c r="D15" s="18" t="str">
        <x:v>Every other register can export; these three cannot.</x:v>
      </x:c>
      <x:c r="E15" s="18" t="str">
        <x:v>src/GeneralLedgerPro.jsx, DayBook.jsx</x:v>
      </x:c>
    </x:row>
    <x:row r="16" ht="34" customHeight="1">
      <x:c r="A16" s="27" t="str">
        <x:v>P1</x:v>
      </x:c>
      <x:c r="B16" s="26" t="str">
        <x:v>Docs</x:v>
      </x:c>
      <x:c r="C16" s="18" t="str">
        <x:v>Refresh the roadmap P1 list: it still asks to build purchase bills, vendors, vendor payments and debit notes, which now exist.</x:v>
      </x:c>
      <x:c r="D16" s="18" t="str">
        <x:v>A resuming assistant acts on stale guidance.</x:v>
      </x:c>
      <x:c r="E16" s="18" t="str">
        <x:v>docs/KNOWN-GAPS-AND-ROADMAP.md</x:v>
      </x:c>
    </x:row>
    <x:row r="17" ht="34" customHeight="1">
      <x:c r="A17" s="27" t="str">
        <x:v>P2</x:v>
      </x:c>
      <x:c r="B17" s="26" t="str">
        <x:v>Production</x:v>
      </x:c>
      <x:c r="C17" s="18" t="str">
        <x:v>Move persistence behind an authenticated API with immutable posted journals and server-enforced periods.</x:v>
      </x:c>
      <x:c r="D17" s="18" t="str">
        <x:v>The prototype stores everything in the browser, so no control can be enforced client-side.</x:v>
      </x:c>
      <x:c r="E17" s="18" t="str">
        <x:v>docs/KNOWN-GAPS-AND-ROADMAP.md</x:v>
      </x:c>
    </x:row>
    <x:row r="18" ht="34" customHeight="1">
      <x:c r="A18" s="27" t="str">
        <x:v>P2</x:v>
      </x:c>
      <x:c r="B18" s="26" t="str">
        <x:v>Handover</x:v>
      </x:c>
      <x:c r="C18" s="18" t="str">
        <x:v>Add this completion report to the knowledge package index and manifest.</x:v>
      </x:c>
      <x:c r="D18" s="18" t="str">
        <x:v>Gives the next assistant one place to see what is finished and what is left.</x:v>
      </x:c>
      <x:c r="E18" s="18" t="str">
        <x:v>docs/README.md, docs/project-manifest.json</x:v>
      </x:c>
    </x:row>
  </x:sheetData>
  <x:conditionalFormatting sqref="A4:A18">
    <x:cfRule type="cellIs" dxfId="0" priority="1" operator="equal">
      <x:formula>"P0"</x:formula>
    </x:cfRule>
    <x:cfRule type="cellIs" dxfId="1" priority="2" operator="equal">
      <x:formula>"P1"</x:formula>
    </x:cfRule>
  </x:conditionalFormatting>
  <x:pageMargins left="0.7" right="0.7" top="0.75" bottom="0.75" header="0.3" footer="0.3"/>
</x:worksheet>
</file>